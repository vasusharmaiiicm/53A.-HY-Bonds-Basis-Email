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J:\53A. HY Bonds Basis Email\"/>
    </mc:Choice>
  </mc:AlternateContent>
  <xr:revisionPtr revIDLastSave="0" documentId="13_ncr:1_{FD422EF8-806B-4E5E-BC54-BF402AD32FFC}" xr6:coauthVersionLast="47" xr6:coauthVersionMax="47" xr10:uidLastSave="{00000000-0000-0000-0000-000000000000}"/>
  <bookViews>
    <workbookView xWindow="4050" yWindow="1920" windowWidth="28800" windowHeight="153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E1" i="1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D1" i="1"/>
  <c r="C1" i="1"/>
</calcChain>
</file>

<file path=xl/sharedStrings.xml><?xml version="1.0" encoding="utf-8"?>
<sst xmlns="http://schemas.openxmlformats.org/spreadsheetml/2006/main" count="132" uniqueCount="107">
  <si>
    <t>XS3068594715</t>
  </si>
  <si>
    <t>BHRAIN 7 1/2 07/07/37</t>
  </si>
  <si>
    <t>XS2974969482</t>
  </si>
  <si>
    <t>KSA 5 5/8 01/13/35</t>
  </si>
  <si>
    <t>XS2747599095</t>
  </si>
  <si>
    <t>KSA 5 01/16/34</t>
  </si>
  <si>
    <t>US718286DG92</t>
  </si>
  <si>
    <t>PHILIP 5 1/2 02/04/35</t>
  </si>
  <si>
    <t>US718286DA23</t>
  </si>
  <si>
    <t>PHILIP 5 1/4 05/14/34</t>
  </si>
  <si>
    <t>XS2058948451</t>
  </si>
  <si>
    <t>BHRAIN 5 5/8 09/30/31</t>
  </si>
  <si>
    <t>XS2822506833</t>
  </si>
  <si>
    <t>QATAR 4 3/4 05/29/34</t>
  </si>
  <si>
    <t>XS2408003064</t>
  </si>
  <si>
    <t>BHRAIN 5 5/8 05/18/34</t>
  </si>
  <si>
    <t>XS2974968161</t>
  </si>
  <si>
    <t>KSA 5 3/8 01/13/31</t>
  </si>
  <si>
    <t>XS2288905370</t>
  </si>
  <si>
    <t>OMAN 6 1/4 01/25/31</t>
  </si>
  <si>
    <t>XS2577135127</t>
  </si>
  <si>
    <t>KSA 4 7/8 07/18/33</t>
  </si>
  <si>
    <t>US718286DC88</t>
  </si>
  <si>
    <t>PHILIP 4 3/4 03/05/35</t>
  </si>
  <si>
    <t>XS2747598444</t>
  </si>
  <si>
    <t>KSA 4 3/4 01/16/30</t>
  </si>
  <si>
    <t>XS2918565198</t>
  </si>
  <si>
    <t>QATAR 4 7/8 02/27/35</t>
  </si>
  <si>
    <t>XS2234859283</t>
  </si>
  <si>
    <t>OMAN 7 3/8 10/28/32</t>
  </si>
  <si>
    <t>XS2764424813</t>
  </si>
  <si>
    <t>BHRAIN 7 1/2 02/12/36</t>
  </si>
  <si>
    <t>US718286BG11</t>
  </si>
  <si>
    <t>PHILIP 6 3/8 10/23/34</t>
  </si>
  <si>
    <t>XS0113419690</t>
  </si>
  <si>
    <t>QATAR 9 3/4 06/15/30</t>
  </si>
  <si>
    <t>XS2155352664</t>
  </si>
  <si>
    <t>QATAR 3 3/4 04/16/30</t>
  </si>
  <si>
    <t>XS2294322818</t>
  </si>
  <si>
    <t>KSA 2 1/4 02/02/33</t>
  </si>
  <si>
    <t>XS2290957146</t>
  </si>
  <si>
    <t>BHRAIN 5 1/4 01/25/33</t>
  </si>
  <si>
    <t>US718286BD89</t>
  </si>
  <si>
    <t>PHILIP 6 3/8 01/15/32</t>
  </si>
  <si>
    <t>US718286AY36</t>
  </si>
  <si>
    <t>PHILIP 9 1/2 02/02/30</t>
  </si>
  <si>
    <t>US718286BB24</t>
  </si>
  <si>
    <t>PHILIP 7 3/4 01/14/31</t>
  </si>
  <si>
    <t>XS1675862012</t>
  </si>
  <si>
    <t>BHRAIN 6 3/4 09/20/29</t>
  </si>
  <si>
    <t>XS1791939066</t>
  </si>
  <si>
    <t>KSA 4 1/2 04/17/30</t>
  </si>
  <si>
    <t>XS2172965282</t>
  </si>
  <si>
    <t>BHRAIN 7 3/8 05/14/30</t>
  </si>
  <si>
    <t>US718286CW51</t>
  </si>
  <si>
    <t>PHILIP 5 07/17/33</t>
  </si>
  <si>
    <t>US718286BW60</t>
  </si>
  <si>
    <t>PHILIP 5 01/13/37</t>
  </si>
  <si>
    <t>US05674RAR57</t>
  </si>
  <si>
    <t>XS2611617700</t>
  </si>
  <si>
    <t>BHRAIN 7 3/4 04/18/35</t>
  </si>
  <si>
    <t>US718286CT23</t>
  </si>
  <si>
    <t>PHILIP 5.609 04/13/33</t>
  </si>
  <si>
    <t>XS2226916216</t>
  </si>
  <si>
    <t>BHRAIN 5.45 09/16/32</t>
  </si>
  <si>
    <t>XS2548892020</t>
  </si>
  <si>
    <t>KSA 5 1/2 10/25/32</t>
  </si>
  <si>
    <t>US718286CR66</t>
  </si>
  <si>
    <t>PHILIP 3.556 09/29/32</t>
  </si>
  <si>
    <t>US718286CN52</t>
  </si>
  <si>
    <t>PHILIP 1.95 01/06/32</t>
  </si>
  <si>
    <t>XS2109766472</t>
  </si>
  <si>
    <t>KSA 2 3/4 02/03/32</t>
  </si>
  <si>
    <t>XS2159975700</t>
  </si>
  <si>
    <t>KSA 3 1/4 10/22/30</t>
  </si>
  <si>
    <t>US718286CJ41</t>
  </si>
  <si>
    <t>PHILIP 2.457 05/05/30</t>
  </si>
  <si>
    <t>US718286CK14</t>
  </si>
  <si>
    <t>PHILIP 1.648 06/10/31</t>
  </si>
  <si>
    <t>US50064FAS39</t>
  </si>
  <si>
    <t>KOREA 1 09/16/30</t>
  </si>
  <si>
    <t>US80413TBL26</t>
  </si>
  <si>
    <t>US74727PBD24</t>
  </si>
  <si>
    <t>US80413TBG31</t>
  </si>
  <si>
    <t>US80413TBF57</t>
  </si>
  <si>
    <t>XS2649148090</t>
  </si>
  <si>
    <t>BHRAIN 5 1/2 08/01/33</t>
  </si>
  <si>
    <t>US05675M2K95</t>
  </si>
  <si>
    <t>US80413TBD00</t>
  </si>
  <si>
    <t>US74738PUJ55</t>
  </si>
  <si>
    <t>US80413TBK43</t>
  </si>
  <si>
    <t>US68205LAE39</t>
  </si>
  <si>
    <t>US05675M2G83</t>
  </si>
  <si>
    <t>US68205LAS25</t>
  </si>
  <si>
    <t>US74738PTP35</t>
  </si>
  <si>
    <t>US05675M2A14</t>
  </si>
  <si>
    <t>US05675M2J23</t>
  </si>
  <si>
    <t>US80413TAQ22</t>
  </si>
  <si>
    <t>US05675M2C79</t>
  </si>
  <si>
    <t>US05675M2L78</t>
  </si>
  <si>
    <t>US05674RAJ32</t>
  </si>
  <si>
    <t>US74727PAE16</t>
  </si>
  <si>
    <t>US80413TAH23</t>
  </si>
  <si>
    <t>US80413TAT60</t>
  </si>
  <si>
    <t>US80413TAV17</t>
  </si>
  <si>
    <t>US05675M2D52</t>
  </si>
  <si>
    <t>US80413TBA60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</si>
</sst>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F3" sqref="F3"/>
    </sheetView>
  </sheetViews>
  <sheetFormatPr defaultRowHeight="15" x14ac:dyDescent="0.25"/>
  <cols>
    <col min="1" max="1" width="21" bestFit="1" customWidth="1"/>
    <col min="2" max="2" width="14.42578125" bestFit="1" customWidth="1"/>
    <col min="3" max="3" width="22.85546875" bestFit="1" customWidth="1"/>
    <col min="4" max="4" width="16.140625" bestFit="1" customWidth="1"/>
  </cols>
  <sheetData>
    <row r="1" spans="1:6" x14ac:dyDescent="0.25">
      <c r="A1" t="s">
        <v>86</v>
      </c>
      <c r="B1" t="s">
        <v>85</v>
      </c>
      <c r="C1" t="str">
        <f>""""&amp;A1&amp;""""</f>
        <v>"BHRAIN 5 1/2 08/01/33"</v>
      </c>
      <c r="D1" t="str">
        <f>""""&amp;B1&amp;""""</f>
        <v>"XS2649148090"</v>
      </c>
      <c r="E1" t="str">
        <f>_xlfn.TEXTJOIN(", ",TRUE,C:C)</f>
        <v>"BHRAIN 5 1/2 08/01/33", "BHRAIN 5 1/4 01/25/33", "BHRAIN 5 1/4 01/25/33", "BHRAIN 5 5/8 05/18/34", "BHRAIN 5 5/8 05/18/34", "BHRAIN 5 5/8 09/30/31", "BHRAIN 5 5/8 09/30/31", "BHRAIN 5.45 09/16/32", "BHRAIN 5.45 09/16/32", "BHRAIN 6 3/4 09/20/29", "BHRAIN 6 3/4 09/20/29", "BHRAIN 7 1/2 02/12/36", "BHRAIN 7 1/2 02/12/36", "BHRAIN 7 1/2 07/07/37", "BHRAIN 7 1/2 07/07/37", "BHRAIN 7 3/4 04/18/35", "BHRAIN 7 3/4 04/18/35", "BHRAIN 7 3/8 05/14/30", "BHRAIN 7 3/8 05/14/30", "KOREA 1 09/16/30", "KSA 2 1/4 02/02/33", "KSA 2 1/4 02/02/33", "KSA 2 3/4 02/03/32", "KSA 2 3/4 02/03/32", "KSA 3 1/4 10/22/30", "KSA 3 1/4 10/22/30", "KSA 4 1/2 04/17/30", "KSA 4 1/2 04/17/30", "KSA 4 3/4 01/16/30", "KSA 4 3/4 01/16/30", "KSA 4 7/8 07/18/33", "KSA 4 7/8 07/18/33", "KSA 5 01/16/34", "KSA 5 01/16/34", "KSA 5 1/2 10/25/32", "KSA 5 1/2 10/25/32", "KSA 5 3/8 01/13/31", "KSA 5 3/8 01/13/31", "KSA 5 5/8 01/13/35", "KSA 5 5/8 01/13/35", "OMAN 6 1/4 01/25/31", "OMAN 6 1/4 01/25/31", "OMAN 7 3/8 10/28/32", "OMAN 7 3/8 10/28/32", "PHILIP 1.648 06/10/31", "PHILIP 1.95 01/06/32", "PHILIP 2.457 05/05/30", "PHILIP 3.556 09/29/32", "PHILIP 4 3/4 03/05/35", "PHILIP 5 01/13/37", "PHILIP 5 07/17/33", "PHILIP 5 1/2 02/04/35", "PHILIP 5 1/4 05/14/34", "PHILIP 5.609 04/13/33", "PHILIP 6 3/8 01/15/32", "PHILIP 6 3/8 10/23/34", "PHILIP 7 3/4 01/14/31", "PHILIP 9 1/2 02/02/30", "QATAR 3 3/4 04/16/30", "QATAR 3 3/4 04/16/30", "QATAR 4 3/4 05/29/34", "QATAR 4 3/4 05/29/34", "QATAR 4 7/8 02/27/35", "QATAR 4 7/8 02/27/35", "QATAR 9 3/4 06/15/30", "QATAR 9 3/4 06/15/30"</v>
      </c>
      <c r="F1" t="str">
        <f>_xlfn.TEXTJOIN(", ",TRUE,D:D)</f>
        <v>"XS2649148090", "XS2290957146", "US05675M2G83", "XS2408003064", "US05675M2J23", "XS2058948451", "US05675M2A14", "XS2226916216", "US05675M2D52", "XS1675862012", "US05674RAJ32", "XS2764424813", "US05675M2L78", "XS3068594715", "US05674RAR57", "XS2611617700", "US05675M2K95", "XS2172965282", "US05675M2C79", "US50064FAS39", "XS2294322818", "US80413TAV17", "XS2109766472", "US80413TAQ22", "XS2159975700", "US80413TAT60", "XS1791939066", "US80413TAH23", "XS2747598444", "US80413TBF57", "XS2577135127", "US80413TBD00", "XS2747599095", "US80413TBG31", "XS2548892020", "US80413TBA60", "XS2974968161", "US80413TBK43", "XS2974969482", "US80413TBL26", "XS2288905370", "US68205LAS25", "XS2234859283", "US68205LAE39", "US718286CK14", "US718286CN52", "US718286CJ41", "US718286CR66", "US718286DC88", "US718286BW60", "US718286CW51", "US718286DG92", "US718286DA23", "US718286CT23", "US718286BD89", "US718286BG11", "US718286BB24", "US718286AY36", "XS2155352664", "US74727PBD24", "XS2822506833", "US74738PTP35", "XS2918565198", "US74738PUJ55", "XS0113419690", "US74727PAE16"</v>
      </c>
    </row>
    <row r="2" spans="1:6" x14ac:dyDescent="0.25">
      <c r="A2" t="s">
        <v>41</v>
      </c>
      <c r="B2" t="s">
        <v>40</v>
      </c>
      <c r="C2" t="str">
        <f t="shared" ref="C2:C65" si="0">""""&amp;A2&amp;""""</f>
        <v>"BHRAIN 5 1/4 01/25/33"</v>
      </c>
      <c r="D2" t="str">
        <f t="shared" ref="D2:D65" si="1">""""&amp;B2&amp;""""</f>
        <v>"XS2290957146"</v>
      </c>
    </row>
    <row r="3" spans="1:6" x14ac:dyDescent="0.25">
      <c r="A3" t="s">
        <v>41</v>
      </c>
      <c r="B3" t="s">
        <v>92</v>
      </c>
      <c r="C3" t="str">
        <f t="shared" si="0"/>
        <v>"BHRAIN 5 1/4 01/25/33"</v>
      </c>
      <c r="D3" t="str">
        <f t="shared" si="1"/>
        <v>"US05675M2G83"</v>
      </c>
    </row>
    <row r="4" spans="1:6" x14ac:dyDescent="0.25">
      <c r="A4" t="s">
        <v>15</v>
      </c>
      <c r="B4" t="s">
        <v>14</v>
      </c>
      <c r="C4" t="str">
        <f t="shared" si="0"/>
        <v>"BHRAIN 5 5/8 05/18/34"</v>
      </c>
      <c r="D4" t="str">
        <f t="shared" si="1"/>
        <v>"XS2408003064"</v>
      </c>
    </row>
    <row r="5" spans="1:6" x14ac:dyDescent="0.25">
      <c r="A5" t="s">
        <v>15</v>
      </c>
      <c r="B5" t="s">
        <v>96</v>
      </c>
      <c r="C5" t="str">
        <f t="shared" si="0"/>
        <v>"BHRAIN 5 5/8 05/18/34"</v>
      </c>
      <c r="D5" t="str">
        <f t="shared" si="1"/>
        <v>"US05675M2J23"</v>
      </c>
    </row>
    <row r="6" spans="1:6" x14ac:dyDescent="0.25">
      <c r="A6" t="s">
        <v>11</v>
      </c>
      <c r="B6" t="s">
        <v>10</v>
      </c>
      <c r="C6" t="str">
        <f t="shared" si="0"/>
        <v>"BHRAIN 5 5/8 09/30/31"</v>
      </c>
      <c r="D6" t="str">
        <f t="shared" si="1"/>
        <v>"XS2058948451"</v>
      </c>
    </row>
    <row r="7" spans="1:6" x14ac:dyDescent="0.25">
      <c r="A7" t="s">
        <v>11</v>
      </c>
      <c r="B7" t="s">
        <v>95</v>
      </c>
      <c r="C7" t="str">
        <f t="shared" si="0"/>
        <v>"BHRAIN 5 5/8 09/30/31"</v>
      </c>
      <c r="D7" t="str">
        <f t="shared" si="1"/>
        <v>"US05675M2A14"</v>
      </c>
    </row>
    <row r="8" spans="1:6" x14ac:dyDescent="0.25">
      <c r="A8" t="s">
        <v>64</v>
      </c>
      <c r="B8" t="s">
        <v>63</v>
      </c>
      <c r="C8" t="str">
        <f t="shared" si="0"/>
        <v>"BHRAIN 5.45 09/16/32"</v>
      </c>
      <c r="D8" t="str">
        <f t="shared" si="1"/>
        <v>"XS2226916216"</v>
      </c>
    </row>
    <row r="9" spans="1:6" x14ac:dyDescent="0.25">
      <c r="A9" t="s">
        <v>64</v>
      </c>
      <c r="B9" t="s">
        <v>105</v>
      </c>
      <c r="C9" t="str">
        <f t="shared" si="0"/>
        <v>"BHRAIN 5.45 09/16/32"</v>
      </c>
      <c r="D9" t="str">
        <f t="shared" si="1"/>
        <v>"US05675M2D52"</v>
      </c>
    </row>
    <row r="10" spans="1:6" x14ac:dyDescent="0.25">
      <c r="A10" t="s">
        <v>49</v>
      </c>
      <c r="B10" t="s">
        <v>48</v>
      </c>
      <c r="C10" t="str">
        <f t="shared" si="0"/>
        <v>"BHRAIN 6 3/4 09/20/29"</v>
      </c>
      <c r="D10" t="str">
        <f t="shared" si="1"/>
        <v>"XS1675862012"</v>
      </c>
    </row>
    <row r="11" spans="1:6" x14ac:dyDescent="0.25">
      <c r="A11" t="s">
        <v>49</v>
      </c>
      <c r="B11" t="s">
        <v>100</v>
      </c>
      <c r="C11" t="str">
        <f t="shared" si="0"/>
        <v>"BHRAIN 6 3/4 09/20/29"</v>
      </c>
      <c r="D11" t="str">
        <f t="shared" si="1"/>
        <v>"US05674RAJ32"</v>
      </c>
    </row>
    <row r="12" spans="1:6" x14ac:dyDescent="0.25">
      <c r="A12" t="s">
        <v>31</v>
      </c>
      <c r="B12" t="s">
        <v>30</v>
      </c>
      <c r="C12" t="str">
        <f t="shared" si="0"/>
        <v>"BHRAIN 7 1/2 02/12/36"</v>
      </c>
      <c r="D12" t="str">
        <f t="shared" si="1"/>
        <v>"XS2764424813"</v>
      </c>
    </row>
    <row r="13" spans="1:6" x14ac:dyDescent="0.25">
      <c r="A13" t="s">
        <v>31</v>
      </c>
      <c r="B13" t="s">
        <v>99</v>
      </c>
      <c r="C13" t="str">
        <f t="shared" si="0"/>
        <v>"BHRAIN 7 1/2 02/12/36"</v>
      </c>
      <c r="D13" t="str">
        <f t="shared" si="1"/>
        <v>"US05675M2L78"</v>
      </c>
    </row>
    <row r="14" spans="1:6" x14ac:dyDescent="0.25">
      <c r="A14" t="s">
        <v>1</v>
      </c>
      <c r="B14" t="s">
        <v>0</v>
      </c>
      <c r="C14" t="str">
        <f t="shared" si="0"/>
        <v>"BHRAIN 7 1/2 07/07/37"</v>
      </c>
      <c r="D14" t="str">
        <f t="shared" si="1"/>
        <v>"XS3068594715"</v>
      </c>
    </row>
    <row r="15" spans="1:6" x14ac:dyDescent="0.25">
      <c r="A15" t="s">
        <v>1</v>
      </c>
      <c r="B15" t="s">
        <v>58</v>
      </c>
      <c r="C15" t="str">
        <f t="shared" si="0"/>
        <v>"BHRAIN 7 1/2 07/07/37"</v>
      </c>
      <c r="D15" t="str">
        <f t="shared" si="1"/>
        <v>"US05674RAR57"</v>
      </c>
    </row>
    <row r="16" spans="1:6" x14ac:dyDescent="0.25">
      <c r="A16" t="s">
        <v>60</v>
      </c>
      <c r="B16" t="s">
        <v>59</v>
      </c>
      <c r="C16" t="str">
        <f t="shared" si="0"/>
        <v>"BHRAIN 7 3/4 04/18/35"</v>
      </c>
      <c r="D16" t="str">
        <f t="shared" si="1"/>
        <v>"XS2611617700"</v>
      </c>
    </row>
    <row r="17" spans="1:4" x14ac:dyDescent="0.25">
      <c r="A17" t="s">
        <v>60</v>
      </c>
      <c r="B17" t="s">
        <v>87</v>
      </c>
      <c r="C17" t="str">
        <f t="shared" si="0"/>
        <v>"BHRAIN 7 3/4 04/18/35"</v>
      </c>
      <c r="D17" t="str">
        <f t="shared" si="1"/>
        <v>"US05675M2K95"</v>
      </c>
    </row>
    <row r="18" spans="1:4" x14ac:dyDescent="0.25">
      <c r="A18" t="s">
        <v>53</v>
      </c>
      <c r="B18" t="s">
        <v>52</v>
      </c>
      <c r="C18" t="str">
        <f t="shared" si="0"/>
        <v>"BHRAIN 7 3/8 05/14/30"</v>
      </c>
      <c r="D18" t="str">
        <f t="shared" si="1"/>
        <v>"XS2172965282"</v>
      </c>
    </row>
    <row r="19" spans="1:4" x14ac:dyDescent="0.25">
      <c r="A19" t="s">
        <v>53</v>
      </c>
      <c r="B19" t="s">
        <v>98</v>
      </c>
      <c r="C19" t="str">
        <f t="shared" si="0"/>
        <v>"BHRAIN 7 3/8 05/14/30"</v>
      </c>
      <c r="D19" t="str">
        <f t="shared" si="1"/>
        <v>"US05675M2C79"</v>
      </c>
    </row>
    <row r="20" spans="1:4" x14ac:dyDescent="0.25">
      <c r="A20" t="s">
        <v>80</v>
      </c>
      <c r="B20" t="s">
        <v>79</v>
      </c>
      <c r="C20" t="str">
        <f t="shared" si="0"/>
        <v>"KOREA 1 09/16/30"</v>
      </c>
      <c r="D20" t="str">
        <f t="shared" si="1"/>
        <v>"US50064FAS39"</v>
      </c>
    </row>
    <row r="21" spans="1:4" x14ac:dyDescent="0.25">
      <c r="A21" t="s">
        <v>39</v>
      </c>
      <c r="B21" t="s">
        <v>38</v>
      </c>
      <c r="C21" t="str">
        <f t="shared" si="0"/>
        <v>"KSA 2 1/4 02/02/33"</v>
      </c>
      <c r="D21" t="str">
        <f t="shared" si="1"/>
        <v>"XS2294322818"</v>
      </c>
    </row>
    <row r="22" spans="1:4" x14ac:dyDescent="0.25">
      <c r="A22" t="s">
        <v>39</v>
      </c>
      <c r="B22" t="s">
        <v>104</v>
      </c>
      <c r="C22" t="str">
        <f t="shared" si="0"/>
        <v>"KSA 2 1/4 02/02/33"</v>
      </c>
      <c r="D22" t="str">
        <f t="shared" si="1"/>
        <v>"US80413TAV17"</v>
      </c>
    </row>
    <row r="23" spans="1:4" x14ac:dyDescent="0.25">
      <c r="A23" t="s">
        <v>72</v>
      </c>
      <c r="B23" t="s">
        <v>71</v>
      </c>
      <c r="C23" t="str">
        <f t="shared" si="0"/>
        <v>"KSA 2 3/4 02/03/32"</v>
      </c>
      <c r="D23" t="str">
        <f t="shared" si="1"/>
        <v>"XS2109766472"</v>
      </c>
    </row>
    <row r="24" spans="1:4" x14ac:dyDescent="0.25">
      <c r="A24" t="s">
        <v>72</v>
      </c>
      <c r="B24" t="s">
        <v>97</v>
      </c>
      <c r="C24" t="str">
        <f t="shared" si="0"/>
        <v>"KSA 2 3/4 02/03/32"</v>
      </c>
      <c r="D24" t="str">
        <f t="shared" si="1"/>
        <v>"US80413TAQ22"</v>
      </c>
    </row>
    <row r="25" spans="1:4" x14ac:dyDescent="0.25">
      <c r="A25" t="s">
        <v>74</v>
      </c>
      <c r="B25" t="s">
        <v>73</v>
      </c>
      <c r="C25" t="str">
        <f t="shared" si="0"/>
        <v>"KSA 3 1/4 10/22/30"</v>
      </c>
      <c r="D25" t="str">
        <f t="shared" si="1"/>
        <v>"XS2159975700"</v>
      </c>
    </row>
    <row r="26" spans="1:4" x14ac:dyDescent="0.25">
      <c r="A26" t="s">
        <v>74</v>
      </c>
      <c r="B26" t="s">
        <v>103</v>
      </c>
      <c r="C26" t="str">
        <f t="shared" si="0"/>
        <v>"KSA 3 1/4 10/22/30"</v>
      </c>
      <c r="D26" t="str">
        <f t="shared" si="1"/>
        <v>"US80413TAT60"</v>
      </c>
    </row>
    <row r="27" spans="1:4" x14ac:dyDescent="0.25">
      <c r="A27" t="s">
        <v>51</v>
      </c>
      <c r="B27" t="s">
        <v>50</v>
      </c>
      <c r="C27" t="str">
        <f t="shared" si="0"/>
        <v>"KSA 4 1/2 04/17/30"</v>
      </c>
      <c r="D27" t="str">
        <f t="shared" si="1"/>
        <v>"XS1791939066"</v>
      </c>
    </row>
    <row r="28" spans="1:4" x14ac:dyDescent="0.25">
      <c r="A28" t="s">
        <v>51</v>
      </c>
      <c r="B28" t="s">
        <v>102</v>
      </c>
      <c r="C28" t="str">
        <f t="shared" si="0"/>
        <v>"KSA 4 1/2 04/17/30"</v>
      </c>
      <c r="D28" t="str">
        <f t="shared" si="1"/>
        <v>"US80413TAH23"</v>
      </c>
    </row>
    <row r="29" spans="1:4" x14ac:dyDescent="0.25">
      <c r="A29" t="s">
        <v>25</v>
      </c>
      <c r="B29" t="s">
        <v>24</v>
      </c>
      <c r="C29" t="str">
        <f t="shared" si="0"/>
        <v>"KSA 4 3/4 01/16/30"</v>
      </c>
      <c r="D29" t="str">
        <f t="shared" si="1"/>
        <v>"XS2747598444"</v>
      </c>
    </row>
    <row r="30" spans="1:4" x14ac:dyDescent="0.25">
      <c r="A30" t="s">
        <v>25</v>
      </c>
      <c r="B30" t="s">
        <v>84</v>
      </c>
      <c r="C30" t="str">
        <f t="shared" si="0"/>
        <v>"KSA 4 3/4 01/16/30"</v>
      </c>
      <c r="D30" t="str">
        <f t="shared" si="1"/>
        <v>"US80413TBF57"</v>
      </c>
    </row>
    <row r="31" spans="1:4" x14ac:dyDescent="0.25">
      <c r="A31" t="s">
        <v>21</v>
      </c>
      <c r="B31" t="s">
        <v>20</v>
      </c>
      <c r="C31" t="str">
        <f t="shared" si="0"/>
        <v>"KSA 4 7/8 07/18/33"</v>
      </c>
      <c r="D31" t="str">
        <f t="shared" si="1"/>
        <v>"XS2577135127"</v>
      </c>
    </row>
    <row r="32" spans="1:4" x14ac:dyDescent="0.25">
      <c r="A32" t="s">
        <v>21</v>
      </c>
      <c r="B32" t="s">
        <v>88</v>
      </c>
      <c r="C32" t="str">
        <f t="shared" si="0"/>
        <v>"KSA 4 7/8 07/18/33"</v>
      </c>
      <c r="D32" t="str">
        <f t="shared" si="1"/>
        <v>"US80413TBD00"</v>
      </c>
    </row>
    <row r="33" spans="1:4" x14ac:dyDescent="0.25">
      <c r="A33" t="s">
        <v>5</v>
      </c>
      <c r="B33" t="s">
        <v>4</v>
      </c>
      <c r="C33" t="str">
        <f t="shared" si="0"/>
        <v>"KSA 5 01/16/34"</v>
      </c>
      <c r="D33" t="str">
        <f t="shared" si="1"/>
        <v>"XS2747599095"</v>
      </c>
    </row>
    <row r="34" spans="1:4" x14ac:dyDescent="0.25">
      <c r="A34" t="s">
        <v>5</v>
      </c>
      <c r="B34" t="s">
        <v>83</v>
      </c>
      <c r="C34" t="str">
        <f t="shared" si="0"/>
        <v>"KSA 5 01/16/34"</v>
      </c>
      <c r="D34" t="str">
        <f t="shared" si="1"/>
        <v>"US80413TBG31"</v>
      </c>
    </row>
    <row r="35" spans="1:4" x14ac:dyDescent="0.25">
      <c r="A35" t="s">
        <v>66</v>
      </c>
      <c r="B35" t="s">
        <v>65</v>
      </c>
      <c r="C35" t="str">
        <f t="shared" si="0"/>
        <v>"KSA 5 1/2 10/25/32"</v>
      </c>
      <c r="D35" t="str">
        <f t="shared" si="1"/>
        <v>"XS2548892020"</v>
      </c>
    </row>
    <row r="36" spans="1:4" x14ac:dyDescent="0.25">
      <c r="A36" t="s">
        <v>66</v>
      </c>
      <c r="B36" t="s">
        <v>106</v>
      </c>
      <c r="C36" t="str">
        <f t="shared" si="0"/>
        <v>"KSA 5 1/2 10/25/32"</v>
      </c>
      <c r="D36" t="str">
        <f t="shared" si="1"/>
        <v>"US80413TBA60"</v>
      </c>
    </row>
    <row r="37" spans="1:4" x14ac:dyDescent="0.25">
      <c r="A37" t="s">
        <v>17</v>
      </c>
      <c r="B37" t="s">
        <v>16</v>
      </c>
      <c r="C37" t="str">
        <f t="shared" si="0"/>
        <v>"KSA 5 3/8 01/13/31"</v>
      </c>
      <c r="D37" t="str">
        <f t="shared" si="1"/>
        <v>"XS2974968161"</v>
      </c>
    </row>
    <row r="38" spans="1:4" x14ac:dyDescent="0.25">
      <c r="A38" t="s">
        <v>17</v>
      </c>
      <c r="B38" t="s">
        <v>90</v>
      </c>
      <c r="C38" t="str">
        <f t="shared" si="0"/>
        <v>"KSA 5 3/8 01/13/31"</v>
      </c>
      <c r="D38" t="str">
        <f t="shared" si="1"/>
        <v>"US80413TBK43"</v>
      </c>
    </row>
    <row r="39" spans="1:4" x14ac:dyDescent="0.25">
      <c r="A39" t="s">
        <v>3</v>
      </c>
      <c r="B39" t="s">
        <v>2</v>
      </c>
      <c r="C39" t="str">
        <f t="shared" si="0"/>
        <v>"KSA 5 5/8 01/13/35"</v>
      </c>
      <c r="D39" t="str">
        <f t="shared" si="1"/>
        <v>"XS2974969482"</v>
      </c>
    </row>
    <row r="40" spans="1:4" x14ac:dyDescent="0.25">
      <c r="A40" t="s">
        <v>3</v>
      </c>
      <c r="B40" t="s">
        <v>81</v>
      </c>
      <c r="C40" t="str">
        <f t="shared" si="0"/>
        <v>"KSA 5 5/8 01/13/35"</v>
      </c>
      <c r="D40" t="str">
        <f t="shared" si="1"/>
        <v>"US80413TBL26"</v>
      </c>
    </row>
    <row r="41" spans="1:4" x14ac:dyDescent="0.25">
      <c r="A41" t="s">
        <v>19</v>
      </c>
      <c r="B41" t="s">
        <v>18</v>
      </c>
      <c r="C41" t="str">
        <f t="shared" si="0"/>
        <v>"OMAN 6 1/4 01/25/31"</v>
      </c>
      <c r="D41" t="str">
        <f t="shared" si="1"/>
        <v>"XS2288905370"</v>
      </c>
    </row>
    <row r="42" spans="1:4" x14ac:dyDescent="0.25">
      <c r="A42" t="s">
        <v>19</v>
      </c>
      <c r="B42" t="s">
        <v>93</v>
      </c>
      <c r="C42" t="str">
        <f t="shared" si="0"/>
        <v>"OMAN 6 1/4 01/25/31"</v>
      </c>
      <c r="D42" t="str">
        <f t="shared" si="1"/>
        <v>"US68205LAS25"</v>
      </c>
    </row>
    <row r="43" spans="1:4" x14ac:dyDescent="0.25">
      <c r="A43" t="s">
        <v>29</v>
      </c>
      <c r="B43" t="s">
        <v>28</v>
      </c>
      <c r="C43" t="str">
        <f t="shared" si="0"/>
        <v>"OMAN 7 3/8 10/28/32"</v>
      </c>
      <c r="D43" t="str">
        <f t="shared" si="1"/>
        <v>"XS2234859283"</v>
      </c>
    </row>
    <row r="44" spans="1:4" x14ac:dyDescent="0.25">
      <c r="A44" t="s">
        <v>29</v>
      </c>
      <c r="B44" t="s">
        <v>91</v>
      </c>
      <c r="C44" t="str">
        <f t="shared" si="0"/>
        <v>"OMAN 7 3/8 10/28/32"</v>
      </c>
      <c r="D44" t="str">
        <f t="shared" si="1"/>
        <v>"US68205LAE39"</v>
      </c>
    </row>
    <row r="45" spans="1:4" x14ac:dyDescent="0.25">
      <c r="A45" t="s">
        <v>78</v>
      </c>
      <c r="B45" t="s">
        <v>77</v>
      </c>
      <c r="C45" t="str">
        <f t="shared" si="0"/>
        <v>"PHILIP 1.648 06/10/31"</v>
      </c>
      <c r="D45" t="str">
        <f t="shared" si="1"/>
        <v>"US718286CK14"</v>
      </c>
    </row>
    <row r="46" spans="1:4" x14ac:dyDescent="0.25">
      <c r="A46" t="s">
        <v>70</v>
      </c>
      <c r="B46" t="s">
        <v>69</v>
      </c>
      <c r="C46" t="str">
        <f t="shared" si="0"/>
        <v>"PHILIP 1.95 01/06/32"</v>
      </c>
      <c r="D46" t="str">
        <f t="shared" si="1"/>
        <v>"US718286CN52"</v>
      </c>
    </row>
    <row r="47" spans="1:4" x14ac:dyDescent="0.25">
      <c r="A47" t="s">
        <v>76</v>
      </c>
      <c r="B47" t="s">
        <v>75</v>
      </c>
      <c r="C47" t="str">
        <f t="shared" si="0"/>
        <v>"PHILIP 2.457 05/05/30"</v>
      </c>
      <c r="D47" t="str">
        <f t="shared" si="1"/>
        <v>"US718286CJ41"</v>
      </c>
    </row>
    <row r="48" spans="1:4" x14ac:dyDescent="0.25">
      <c r="A48" t="s">
        <v>68</v>
      </c>
      <c r="B48" t="s">
        <v>67</v>
      </c>
      <c r="C48" t="str">
        <f t="shared" si="0"/>
        <v>"PHILIP 3.556 09/29/32"</v>
      </c>
      <c r="D48" t="str">
        <f t="shared" si="1"/>
        <v>"US718286CR66"</v>
      </c>
    </row>
    <row r="49" spans="1:4" x14ac:dyDescent="0.25">
      <c r="A49" t="s">
        <v>23</v>
      </c>
      <c r="B49" t="s">
        <v>22</v>
      </c>
      <c r="C49" t="str">
        <f t="shared" si="0"/>
        <v>"PHILIP 4 3/4 03/05/35"</v>
      </c>
      <c r="D49" t="str">
        <f t="shared" si="1"/>
        <v>"US718286DC88"</v>
      </c>
    </row>
    <row r="50" spans="1:4" x14ac:dyDescent="0.25">
      <c r="A50" t="s">
        <v>57</v>
      </c>
      <c r="B50" t="s">
        <v>56</v>
      </c>
      <c r="C50" t="str">
        <f t="shared" si="0"/>
        <v>"PHILIP 5 01/13/37"</v>
      </c>
      <c r="D50" t="str">
        <f t="shared" si="1"/>
        <v>"US718286BW60"</v>
      </c>
    </row>
    <row r="51" spans="1:4" x14ac:dyDescent="0.25">
      <c r="A51" t="s">
        <v>55</v>
      </c>
      <c r="B51" t="s">
        <v>54</v>
      </c>
      <c r="C51" t="str">
        <f t="shared" si="0"/>
        <v>"PHILIP 5 07/17/33"</v>
      </c>
      <c r="D51" t="str">
        <f t="shared" si="1"/>
        <v>"US718286CW51"</v>
      </c>
    </row>
    <row r="52" spans="1:4" x14ac:dyDescent="0.25">
      <c r="A52" t="s">
        <v>7</v>
      </c>
      <c r="B52" t="s">
        <v>6</v>
      </c>
      <c r="C52" t="str">
        <f t="shared" si="0"/>
        <v>"PHILIP 5 1/2 02/04/35"</v>
      </c>
      <c r="D52" t="str">
        <f t="shared" si="1"/>
        <v>"US718286DG92"</v>
      </c>
    </row>
    <row r="53" spans="1:4" x14ac:dyDescent="0.25">
      <c r="A53" t="s">
        <v>9</v>
      </c>
      <c r="B53" t="s">
        <v>8</v>
      </c>
      <c r="C53" t="str">
        <f t="shared" si="0"/>
        <v>"PHILIP 5 1/4 05/14/34"</v>
      </c>
      <c r="D53" t="str">
        <f t="shared" si="1"/>
        <v>"US718286DA23"</v>
      </c>
    </row>
    <row r="54" spans="1:4" x14ac:dyDescent="0.25">
      <c r="A54" t="s">
        <v>62</v>
      </c>
      <c r="B54" t="s">
        <v>61</v>
      </c>
      <c r="C54" t="str">
        <f t="shared" si="0"/>
        <v>"PHILIP 5.609 04/13/33"</v>
      </c>
      <c r="D54" t="str">
        <f t="shared" si="1"/>
        <v>"US718286CT23"</v>
      </c>
    </row>
    <row r="55" spans="1:4" x14ac:dyDescent="0.25">
      <c r="A55" t="s">
        <v>43</v>
      </c>
      <c r="B55" t="s">
        <v>42</v>
      </c>
      <c r="C55" t="str">
        <f t="shared" si="0"/>
        <v>"PHILIP 6 3/8 01/15/32"</v>
      </c>
      <c r="D55" t="str">
        <f t="shared" si="1"/>
        <v>"US718286BD89"</v>
      </c>
    </row>
    <row r="56" spans="1:4" x14ac:dyDescent="0.25">
      <c r="A56" t="s">
        <v>33</v>
      </c>
      <c r="B56" t="s">
        <v>32</v>
      </c>
      <c r="C56" t="str">
        <f t="shared" si="0"/>
        <v>"PHILIP 6 3/8 10/23/34"</v>
      </c>
      <c r="D56" t="str">
        <f t="shared" si="1"/>
        <v>"US718286BG11"</v>
      </c>
    </row>
    <row r="57" spans="1:4" x14ac:dyDescent="0.25">
      <c r="A57" t="s">
        <v>47</v>
      </c>
      <c r="B57" t="s">
        <v>46</v>
      </c>
      <c r="C57" t="str">
        <f t="shared" si="0"/>
        <v>"PHILIP 7 3/4 01/14/31"</v>
      </c>
      <c r="D57" t="str">
        <f t="shared" si="1"/>
        <v>"US718286BB24"</v>
      </c>
    </row>
    <row r="58" spans="1:4" x14ac:dyDescent="0.25">
      <c r="A58" t="s">
        <v>45</v>
      </c>
      <c r="B58" t="s">
        <v>44</v>
      </c>
      <c r="C58" t="str">
        <f t="shared" si="0"/>
        <v>"PHILIP 9 1/2 02/02/30"</v>
      </c>
      <c r="D58" t="str">
        <f t="shared" si="1"/>
        <v>"US718286AY36"</v>
      </c>
    </row>
    <row r="59" spans="1:4" x14ac:dyDescent="0.25">
      <c r="A59" t="s">
        <v>37</v>
      </c>
      <c r="B59" t="s">
        <v>36</v>
      </c>
      <c r="C59" t="str">
        <f t="shared" si="0"/>
        <v>"QATAR 3 3/4 04/16/30"</v>
      </c>
      <c r="D59" t="str">
        <f t="shared" si="1"/>
        <v>"XS2155352664"</v>
      </c>
    </row>
    <row r="60" spans="1:4" x14ac:dyDescent="0.25">
      <c r="A60" t="s">
        <v>37</v>
      </c>
      <c r="B60" t="s">
        <v>82</v>
      </c>
      <c r="C60" t="str">
        <f t="shared" si="0"/>
        <v>"QATAR 3 3/4 04/16/30"</v>
      </c>
      <c r="D60" t="str">
        <f t="shared" si="1"/>
        <v>"US74727PBD24"</v>
      </c>
    </row>
    <row r="61" spans="1:4" x14ac:dyDescent="0.25">
      <c r="A61" t="s">
        <v>13</v>
      </c>
      <c r="B61" t="s">
        <v>12</v>
      </c>
      <c r="C61" t="str">
        <f t="shared" si="0"/>
        <v>"QATAR 4 3/4 05/29/34"</v>
      </c>
      <c r="D61" t="str">
        <f t="shared" si="1"/>
        <v>"XS2822506833"</v>
      </c>
    </row>
    <row r="62" spans="1:4" x14ac:dyDescent="0.25">
      <c r="A62" t="s">
        <v>13</v>
      </c>
      <c r="B62" t="s">
        <v>94</v>
      </c>
      <c r="C62" t="str">
        <f t="shared" si="0"/>
        <v>"QATAR 4 3/4 05/29/34"</v>
      </c>
      <c r="D62" t="str">
        <f t="shared" si="1"/>
        <v>"US74738PTP35"</v>
      </c>
    </row>
    <row r="63" spans="1:4" x14ac:dyDescent="0.25">
      <c r="A63" t="s">
        <v>27</v>
      </c>
      <c r="B63" t="s">
        <v>26</v>
      </c>
      <c r="C63" t="str">
        <f t="shared" si="0"/>
        <v>"QATAR 4 7/8 02/27/35"</v>
      </c>
      <c r="D63" t="str">
        <f t="shared" si="1"/>
        <v>"XS2918565198"</v>
      </c>
    </row>
    <row r="64" spans="1:4" x14ac:dyDescent="0.25">
      <c r="A64" t="s">
        <v>27</v>
      </c>
      <c r="B64" t="s">
        <v>89</v>
      </c>
      <c r="C64" t="str">
        <f t="shared" si="0"/>
        <v>"QATAR 4 7/8 02/27/35"</v>
      </c>
      <c r="D64" t="str">
        <f t="shared" si="1"/>
        <v>"US74738PUJ55"</v>
      </c>
    </row>
    <row r="65" spans="1:4" x14ac:dyDescent="0.25">
      <c r="A65" t="s">
        <v>35</v>
      </c>
      <c r="B65" t="s">
        <v>34</v>
      </c>
      <c r="C65" t="str">
        <f t="shared" si="0"/>
        <v>"QATAR 9 3/4 06/15/30"</v>
      </c>
      <c r="D65" t="str">
        <f t="shared" si="1"/>
        <v>"XS0113419690"</v>
      </c>
    </row>
    <row r="66" spans="1:4" x14ac:dyDescent="0.25">
      <c r="A66" t="s">
        <v>35</v>
      </c>
      <c r="B66" t="s">
        <v>101</v>
      </c>
      <c r="C66" t="str">
        <f t="shared" ref="C66:D66" si="2">""""&amp;A66&amp;""""</f>
        <v>"QATAR 9 3/4 06/15/30"</v>
      </c>
      <c r="D66" t="str">
        <f t="shared" si="2"/>
        <v>"US74727PAE16"</v>
      </c>
    </row>
  </sheetData>
  <sortState xmlns:xlrd2="http://schemas.microsoft.com/office/spreadsheetml/2017/richdata2" ref="A2:B66">
    <sortCondition ref="A1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2025-09-15T14:16:55Z</dcterms:modified>
</cp:coreProperties>
</file>